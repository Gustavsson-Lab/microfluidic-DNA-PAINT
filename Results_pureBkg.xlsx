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mb.rdf.rice.edu\research\ag134\Epi in a chip\Figure data files -- Epi in a chip\Data source files\Figure 1\"/>
    </mc:Choice>
  </mc:AlternateContent>
  <xr:revisionPtr revIDLastSave="0" documentId="13_ncr:1_{CA67D60B-910E-4C15-B1C8-B5DA865F6FC6}" xr6:coauthVersionLast="47" xr6:coauthVersionMax="47" xr10:uidLastSave="{00000000-0000-0000-0000-000000000000}"/>
  <bookViews>
    <workbookView xWindow="8535" yWindow="1260" windowWidth="15660" windowHeight="13470" xr2:uid="{2420C49F-43EC-4269-B496-FA29E62FB6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8" i="1"/>
  <c r="G1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</calcChain>
</file>

<file path=xl/sharedStrings.xml><?xml version="1.0" encoding="utf-8"?>
<sst xmlns="http://schemas.openxmlformats.org/spreadsheetml/2006/main" count="14" uniqueCount="14">
  <si>
    <t>Gray  value</t>
  </si>
  <si>
    <t>Offset</t>
  </si>
  <si>
    <t>Conversion Gain</t>
  </si>
  <si>
    <t>QE</t>
  </si>
  <si>
    <t>Photons</t>
  </si>
  <si>
    <t>ibidi 200ul</t>
  </si>
  <si>
    <t>chip 71um</t>
  </si>
  <si>
    <t>chip 178um</t>
  </si>
  <si>
    <t>chip 379um</t>
  </si>
  <si>
    <t>ibidi 100ul</t>
  </si>
  <si>
    <t>AVE</t>
  </si>
  <si>
    <t>STD</t>
  </si>
  <si>
    <t>EM gain</t>
  </si>
  <si>
    <t>ibidi 50ul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</si>
</sst>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01F30-EE92-48D4-889A-C29721BBFB25}">
  <dimension ref="A1:I19"/>
  <sheetViews>
    <sheetView tabSelected="1" workbookViewId="0">
      <selection activeCell="L18" sqref="L18"/>
    </sheetView>
  </sheetViews>
  <sheetFormatPr defaultRowHeight="15" x14ac:dyDescent="0.25"/>
  <cols>
    <col min="1" max="1" width="11" customWidth="1"/>
    <col min="2" max="2" width="11.7109375" customWidth="1"/>
    <col min="3" max="3" width="11.140625" customWidth="1"/>
    <col min="4" max="4" width="12.28515625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12</v>
      </c>
      <c r="G1" t="s">
        <v>4</v>
      </c>
      <c r="H1" t="s">
        <v>10</v>
      </c>
      <c r="I1" t="s">
        <v>11</v>
      </c>
    </row>
    <row r="2" spans="1:9" x14ac:dyDescent="0.25">
      <c r="A2" t="s">
        <v>6</v>
      </c>
      <c r="B2">
        <v>1827.1869999999999</v>
      </c>
      <c r="C2">
        <v>478.9</v>
      </c>
      <c r="D2">
        <v>4.41</v>
      </c>
      <c r="E2">
        <v>0.95</v>
      </c>
      <c r="F2">
        <v>200</v>
      </c>
      <c r="G2">
        <f>(B2-C2)*D2/E2/F2</f>
        <v>31.294450894736837</v>
      </c>
      <c r="H2">
        <v>31.6464</v>
      </c>
      <c r="I2">
        <v>0.31850000000000001</v>
      </c>
    </row>
    <row r="3" spans="1:9" x14ac:dyDescent="0.25">
      <c r="B3">
        <v>1853.9169999999999</v>
      </c>
      <c r="C3">
        <v>478.9</v>
      </c>
      <c r="D3">
        <v>4.41</v>
      </c>
      <c r="E3">
        <v>0.95</v>
      </c>
      <c r="F3">
        <v>200</v>
      </c>
      <c r="G3">
        <f t="shared" ref="G3:G19" si="0">(B3-C3)*D3/E3/F3</f>
        <v>31.914868263157896</v>
      </c>
    </row>
    <row r="4" spans="1:9" x14ac:dyDescent="0.25">
      <c r="B4">
        <v>1845.942</v>
      </c>
      <c r="C4">
        <v>478.9</v>
      </c>
      <c r="D4">
        <v>4.41</v>
      </c>
      <c r="E4">
        <v>0.95</v>
      </c>
      <c r="F4">
        <v>200</v>
      </c>
      <c r="G4">
        <f t="shared" si="0"/>
        <v>31.729764315789474</v>
      </c>
    </row>
    <row r="5" spans="1:9" x14ac:dyDescent="0.25">
      <c r="A5" t="s">
        <v>7</v>
      </c>
      <c r="B5">
        <v>1867.502</v>
      </c>
      <c r="C5">
        <v>478.9</v>
      </c>
      <c r="D5">
        <v>4.41</v>
      </c>
      <c r="E5">
        <v>0.95</v>
      </c>
      <c r="F5">
        <v>200</v>
      </c>
      <c r="G5">
        <f t="shared" si="0"/>
        <v>32.230183263157897</v>
      </c>
      <c r="H5">
        <v>32.706400000000002</v>
      </c>
      <c r="I5">
        <v>0.41889999999999999</v>
      </c>
    </row>
    <row r="6" spans="1:9" x14ac:dyDescent="0.25">
      <c r="B6">
        <v>1895.1179999999999</v>
      </c>
      <c r="C6">
        <v>478.9</v>
      </c>
      <c r="D6">
        <v>4.41</v>
      </c>
      <c r="E6">
        <v>0.95</v>
      </c>
      <c r="F6">
        <v>200</v>
      </c>
      <c r="G6">
        <f t="shared" si="0"/>
        <v>32.871165157894737</v>
      </c>
    </row>
    <row r="7" spans="1:9" x14ac:dyDescent="0.25">
      <c r="B7">
        <v>1901.434</v>
      </c>
      <c r="C7">
        <v>478.9</v>
      </c>
      <c r="D7">
        <v>4.41</v>
      </c>
      <c r="E7">
        <v>0.95</v>
      </c>
      <c r="F7">
        <v>200</v>
      </c>
      <c r="G7">
        <f t="shared" si="0"/>
        <v>33.01776284210527</v>
      </c>
    </row>
    <row r="8" spans="1:9" x14ac:dyDescent="0.25">
      <c r="A8" t="s">
        <v>8</v>
      </c>
      <c r="B8">
        <v>2131.453</v>
      </c>
      <c r="C8">
        <v>478.9</v>
      </c>
      <c r="D8">
        <v>4.41</v>
      </c>
      <c r="E8">
        <v>0.95</v>
      </c>
      <c r="F8">
        <v>200</v>
      </c>
      <c r="G8">
        <f t="shared" si="0"/>
        <v>38.356624894736839</v>
      </c>
      <c r="H8">
        <v>35.075200000000002</v>
      </c>
      <c r="I8">
        <v>3.6959</v>
      </c>
    </row>
    <row r="9" spans="1:9" x14ac:dyDescent="0.25">
      <c r="B9">
        <v>2021.1959999999999</v>
      </c>
      <c r="C9">
        <v>478.9</v>
      </c>
      <c r="D9">
        <v>4.41</v>
      </c>
      <c r="E9">
        <v>0.95</v>
      </c>
      <c r="F9">
        <v>200</v>
      </c>
      <c r="G9">
        <f t="shared" si="0"/>
        <v>35.79750189473684</v>
      </c>
    </row>
    <row r="10" spans="1:9" x14ac:dyDescent="0.25">
      <c r="B10">
        <v>1817.579</v>
      </c>
      <c r="C10">
        <v>478.9</v>
      </c>
      <c r="D10">
        <v>4.41</v>
      </c>
      <c r="E10">
        <v>0.95</v>
      </c>
      <c r="F10">
        <v>200</v>
      </c>
      <c r="G10">
        <f t="shared" si="0"/>
        <v>31.071444157894742</v>
      </c>
    </row>
    <row r="11" spans="1:9" x14ac:dyDescent="0.25">
      <c r="A11" t="s">
        <v>9</v>
      </c>
      <c r="B11">
        <v>3843.4920000000002</v>
      </c>
      <c r="C11">
        <v>478.9</v>
      </c>
      <c r="D11">
        <v>4.41</v>
      </c>
      <c r="E11">
        <v>0.95</v>
      </c>
      <c r="F11">
        <v>200</v>
      </c>
      <c r="G11">
        <f t="shared" si="0"/>
        <v>78.09395115789475</v>
      </c>
      <c r="H11">
        <v>76.041700000000006</v>
      </c>
      <c r="I11">
        <v>1.7869999999999999</v>
      </c>
    </row>
    <row r="12" spans="1:9" x14ac:dyDescent="0.25">
      <c r="B12">
        <v>3718.8420000000001</v>
      </c>
      <c r="C12">
        <v>478.9</v>
      </c>
      <c r="D12">
        <v>4.41</v>
      </c>
      <c r="E12">
        <v>0.95</v>
      </c>
      <c r="F12">
        <v>200</v>
      </c>
      <c r="G12">
        <f t="shared" si="0"/>
        <v>75.200759052631582</v>
      </c>
    </row>
    <row r="13" spans="1:9" x14ac:dyDescent="0.25">
      <c r="B13">
        <v>3702.8789999999999</v>
      </c>
      <c r="C13">
        <v>478.9</v>
      </c>
      <c r="D13">
        <v>4.41</v>
      </c>
      <c r="E13">
        <v>0.95</v>
      </c>
      <c r="F13">
        <v>200</v>
      </c>
      <c r="G13">
        <f t="shared" si="0"/>
        <v>74.830249421052642</v>
      </c>
    </row>
    <row r="14" spans="1:9" x14ac:dyDescent="0.25">
      <c r="A14" t="s">
        <v>5</v>
      </c>
      <c r="B14">
        <v>4340.902</v>
      </c>
      <c r="C14">
        <v>478.9</v>
      </c>
      <c r="D14">
        <v>4.41</v>
      </c>
      <c r="E14">
        <v>0.95</v>
      </c>
      <c r="F14">
        <v>200</v>
      </c>
      <c r="G14">
        <f t="shared" si="0"/>
        <v>89.639099052631593</v>
      </c>
      <c r="H14">
        <v>84.614199999999997</v>
      </c>
      <c r="I14">
        <v>4.5427</v>
      </c>
    </row>
    <row r="15" spans="1:9" x14ac:dyDescent="0.25">
      <c r="B15">
        <v>4072.319</v>
      </c>
      <c r="C15">
        <v>478.9</v>
      </c>
      <c r="D15">
        <v>4.41</v>
      </c>
      <c r="E15">
        <v>0.95</v>
      </c>
      <c r="F15">
        <v>200</v>
      </c>
      <c r="G15">
        <f t="shared" si="0"/>
        <v>83.405146263157889</v>
      </c>
    </row>
    <row r="16" spans="1:9" x14ac:dyDescent="0.25">
      <c r="B16">
        <v>3960.011</v>
      </c>
      <c r="C16">
        <v>478.9</v>
      </c>
      <c r="D16">
        <v>4.41</v>
      </c>
      <c r="E16">
        <v>0.95</v>
      </c>
      <c r="F16">
        <v>200</v>
      </c>
      <c r="G16">
        <f t="shared" si="0"/>
        <v>80.798418473684208</v>
      </c>
    </row>
    <row r="17" spans="1:9" x14ac:dyDescent="0.25">
      <c r="A17" t="s">
        <v>13</v>
      </c>
      <c r="B17">
        <v>2528.692</v>
      </c>
      <c r="C17">
        <v>478.9</v>
      </c>
      <c r="D17">
        <v>4.41</v>
      </c>
      <c r="E17">
        <v>0.95</v>
      </c>
      <c r="F17">
        <v>200</v>
      </c>
      <c r="G17">
        <f t="shared" si="0"/>
        <v>47.576751157894741</v>
      </c>
      <c r="H17">
        <v>47.659799999999997</v>
      </c>
      <c r="I17">
        <v>3.5063</v>
      </c>
    </row>
    <row r="18" spans="1:9" x14ac:dyDescent="0.25">
      <c r="B18">
        <v>2383.0239999999999</v>
      </c>
      <c r="C18">
        <v>478.9</v>
      </c>
      <c r="D18">
        <v>4.41</v>
      </c>
      <c r="E18">
        <v>0.95</v>
      </c>
      <c r="F18">
        <v>200</v>
      </c>
      <c r="G18">
        <f t="shared" si="0"/>
        <v>44.195720210526304</v>
      </c>
    </row>
    <row r="19" spans="1:9" x14ac:dyDescent="0.25">
      <c r="B19">
        <v>2685.0940000000001</v>
      </c>
      <c r="C19">
        <v>478.9</v>
      </c>
      <c r="D19">
        <v>4.41</v>
      </c>
      <c r="E19">
        <v>0.95</v>
      </c>
      <c r="F19">
        <v>200</v>
      </c>
      <c r="G19">
        <f t="shared" si="0"/>
        <v>51.206923894736846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Siyang Cheng</dc:creator>
  <cp:lastModifiedBy>Siyang Cheng</cp:lastModifiedBy>
  <dcterms:created xsi:type="dcterms:W3CDTF">2025-07-28T18:50:20Z</dcterms:created>
  <dcterms:modified xsi:type="dcterms:W3CDTF">2026-01-22T16:49:59Z</dcterms:modified>
</cp:coreProperties>
</file>