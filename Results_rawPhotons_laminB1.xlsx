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b.rdf.rice.edu\research\ag134\Epi in a chip\Data\04 Flow quantification\20250625 lamin B1 DH1\Results_photonCounts_rawImages\"/>
    </mc:Choice>
  </mc:AlternateContent>
  <xr:revisionPtr revIDLastSave="0" documentId="13_ncr:1_{FDF4D8A2-485E-4868-8407-3F9644319309}" xr6:coauthVersionLast="36" xr6:coauthVersionMax="36" xr10:uidLastSave="{00000000-0000-0000-0000-000000000000}"/>
  <bookViews>
    <workbookView xWindow="0" yWindow="0" windowWidth="17550" windowHeight="8235" xr2:uid="{2420C49F-43EC-4269-B496-FA29E62FB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<sst xmlns="http://schemas.openxmlformats.org/spreadsheetml/2006/main" count="12" uniqueCount="12">
  <si>
    <t>Gray  value</t>
  </si>
  <si>
    <t>Offset</t>
  </si>
  <si>
    <t>Conversion Gain</t>
  </si>
  <si>
    <t>QE</t>
  </si>
  <si>
    <t>Photons</t>
  </si>
  <si>
    <t>AVE</t>
  </si>
  <si>
    <t>STD</t>
  </si>
  <si>
    <t>EM gain</t>
  </si>
  <si>
    <t>0 mbar</t>
  </si>
  <si>
    <t>145 mbar</t>
  </si>
  <si>
    <t>245 mbar</t>
  </si>
  <si>
    <t>345 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</si>
</sst>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1F30-EE92-48D4-889A-C29721BBFB25}">
  <dimension ref="A1:I13"/>
  <sheetViews>
    <sheetView tabSelected="1" workbookViewId="0">
      <selection activeCell="I19" sqref="I19"/>
    </sheetView>
  </sheetViews>
  <sheetFormatPr defaultRowHeight="15" x14ac:dyDescent="0.25"/>
  <cols>
    <col min="1" max="1" width="11" customWidth="1"/>
    <col min="2" max="2" width="11.7109375" customWidth="1"/>
    <col min="3" max="3" width="11.140625" customWidth="1"/>
    <col min="4" max="4" width="12.28515625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4</v>
      </c>
      <c r="H1" t="s">
        <v>5</v>
      </c>
      <c r="I1" t="s">
        <v>6</v>
      </c>
    </row>
    <row r="2" spans="1:9" x14ac:dyDescent="0.25">
      <c r="A2" t="s">
        <v>8</v>
      </c>
      <c r="B2">
        <v>1596.798</v>
      </c>
      <c r="C2">
        <v>478.9</v>
      </c>
      <c r="D2">
        <v>4.41</v>
      </c>
      <c r="E2">
        <v>0.95</v>
      </c>
      <c r="F2">
        <v>200</v>
      </c>
      <c r="G2">
        <f t="shared" ref="G2:G13" si="0">(B2-C2)*D2/E2/F2</f>
        <v>25.94700094736843</v>
      </c>
      <c r="H2">
        <v>25.896799999999999</v>
      </c>
      <c r="I2">
        <v>0.32840000000000003</v>
      </c>
    </row>
    <row r="3" spans="1:9" x14ac:dyDescent="0.25">
      <c r="B3">
        <v>1607.576</v>
      </c>
      <c r="C3">
        <v>478.9</v>
      </c>
      <c r="D3">
        <v>4.41</v>
      </c>
      <c r="E3">
        <v>0.95</v>
      </c>
      <c r="F3">
        <v>200</v>
      </c>
      <c r="G3">
        <f t="shared" si="0"/>
        <v>26.197164000000001</v>
      </c>
    </row>
    <row r="4" spans="1:9" x14ac:dyDescent="0.25">
      <c r="B4">
        <v>1579.5260000000001</v>
      </c>
      <c r="C4">
        <v>478.9</v>
      </c>
      <c r="D4">
        <v>4.41</v>
      </c>
      <c r="E4">
        <v>0.95</v>
      </c>
      <c r="F4">
        <v>200</v>
      </c>
      <c r="G4">
        <f t="shared" si="0"/>
        <v>25.546108736842111</v>
      </c>
    </row>
    <row r="5" spans="1:9" x14ac:dyDescent="0.25">
      <c r="A5" t="s">
        <v>9</v>
      </c>
      <c r="B5">
        <v>1765.24</v>
      </c>
      <c r="C5">
        <v>478.9</v>
      </c>
      <c r="D5">
        <v>4.41</v>
      </c>
      <c r="E5">
        <v>0.95</v>
      </c>
      <c r="F5">
        <v>200</v>
      </c>
      <c r="G5">
        <f t="shared" si="0"/>
        <v>29.856628421052637</v>
      </c>
      <c r="H5">
        <v>27.572299999999998</v>
      </c>
      <c r="I5">
        <v>2.0173999999999999</v>
      </c>
    </row>
    <row r="6" spans="1:9" x14ac:dyDescent="0.25">
      <c r="B6">
        <v>1634.654</v>
      </c>
      <c r="C6">
        <v>478.9</v>
      </c>
      <c r="D6">
        <v>4.41</v>
      </c>
      <c r="E6">
        <v>0.95</v>
      </c>
      <c r="F6">
        <v>200</v>
      </c>
      <c r="G6">
        <f t="shared" si="0"/>
        <v>26.82565863157895</v>
      </c>
    </row>
    <row r="7" spans="1:9" x14ac:dyDescent="0.25">
      <c r="B7">
        <v>1600.5740000000001</v>
      </c>
      <c r="C7">
        <v>478.9</v>
      </c>
      <c r="D7">
        <v>4.41</v>
      </c>
      <c r="E7">
        <v>0.95</v>
      </c>
      <c r="F7">
        <v>200</v>
      </c>
      <c r="G7">
        <f t="shared" si="0"/>
        <v>26.034643894736842</v>
      </c>
    </row>
    <row r="8" spans="1:9" x14ac:dyDescent="0.25">
      <c r="A8" t="s">
        <v>10</v>
      </c>
      <c r="B8">
        <v>1965.606</v>
      </c>
      <c r="C8">
        <v>478.9</v>
      </c>
      <c r="D8">
        <v>4.41</v>
      </c>
      <c r="E8">
        <v>0.95</v>
      </c>
      <c r="F8">
        <v>200</v>
      </c>
      <c r="G8">
        <f t="shared" si="0"/>
        <v>34.507228736842109</v>
      </c>
      <c r="H8">
        <v>31.0122</v>
      </c>
      <c r="I8">
        <v>3.1375999999999999</v>
      </c>
    </row>
    <row r="9" spans="1:9" x14ac:dyDescent="0.25">
      <c r="B9">
        <v>1775.3430000000001</v>
      </c>
      <c r="C9">
        <v>478.9</v>
      </c>
      <c r="D9">
        <v>4.41</v>
      </c>
      <c r="E9">
        <v>0.95</v>
      </c>
      <c r="F9">
        <v>200</v>
      </c>
      <c r="G9">
        <f t="shared" si="0"/>
        <v>30.09112436842106</v>
      </c>
    </row>
    <row r="10" spans="1:9" x14ac:dyDescent="0.25">
      <c r="B10">
        <v>1704.127</v>
      </c>
      <c r="C10">
        <v>478.9</v>
      </c>
      <c r="D10">
        <v>4.41</v>
      </c>
      <c r="E10">
        <v>0.95</v>
      </c>
      <c r="F10">
        <v>200</v>
      </c>
      <c r="G10">
        <f t="shared" si="0"/>
        <v>28.43816352631579</v>
      </c>
    </row>
    <row r="11" spans="1:9" x14ac:dyDescent="0.25">
      <c r="A11" t="s">
        <v>11</v>
      </c>
      <c r="B11">
        <v>2169.4140000000002</v>
      </c>
      <c r="C11">
        <v>478.9</v>
      </c>
      <c r="D11">
        <v>4.41</v>
      </c>
      <c r="E11">
        <v>0.95</v>
      </c>
      <c r="F11">
        <v>200</v>
      </c>
      <c r="G11">
        <f t="shared" si="0"/>
        <v>39.237719684210532</v>
      </c>
      <c r="H11">
        <v>35.830599999999997</v>
      </c>
      <c r="I11">
        <v>4.0629999999999997</v>
      </c>
    </row>
    <row r="12" spans="1:9" x14ac:dyDescent="0.25">
      <c r="B12">
        <v>2069.5680000000002</v>
      </c>
      <c r="C12">
        <v>478.9</v>
      </c>
      <c r="D12">
        <v>4.41</v>
      </c>
      <c r="E12">
        <v>0.95</v>
      </c>
      <c r="F12">
        <v>200</v>
      </c>
      <c r="G12">
        <f t="shared" si="0"/>
        <v>36.920241473684221</v>
      </c>
    </row>
    <row r="13" spans="1:9" x14ac:dyDescent="0.25">
      <c r="B13">
        <v>1828.884</v>
      </c>
      <c r="C13">
        <v>478.9</v>
      </c>
      <c r="D13">
        <v>4.41</v>
      </c>
      <c r="E13">
        <v>0.95</v>
      </c>
      <c r="F13">
        <v>200</v>
      </c>
      <c r="G13">
        <f t="shared" si="0"/>
        <v>31.333839157894737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Siyang Cheng</dc:creator>
  <cp:lastModifiedBy>Siyang Cheng</cp:lastModifiedBy>
  <dcterms:created xsi:type="dcterms:W3CDTF">2025-07-28T18:50:20Z</dcterms:created>
  <dcterms:modified xsi:type="dcterms:W3CDTF">2025-07-28T21:47:40Z</dcterms:modified>
</cp:coreProperties>
</file>